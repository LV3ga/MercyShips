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ercyShips\Coding\Projects\OrthoAnalysis\"/>
    </mc:Choice>
  </mc:AlternateContent>
  <xr:revisionPtr revIDLastSave="0" documentId="13_ncr:1_{9395DE2B-EB47-4055-9B43-5AF9A38E78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2" i="1" l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31" i="1"/>
  <c r="C117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8" i="1"/>
  <c r="C119" i="1"/>
  <c r="C120" i="1"/>
  <c r="C121" i="1"/>
  <c r="C122" i="1"/>
  <c r="C123" i="1"/>
  <c r="C124" i="1"/>
  <c r="C125" i="1"/>
  <c r="C6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</calcChain>
</file>

<file path=xl/sharedStrings.xml><?xml version="1.0" encoding="utf-8"?>
<sst xmlns="http://schemas.openxmlformats.org/spreadsheetml/2006/main" count="11" uniqueCount="5">
  <si>
    <t>x</t>
  </si>
  <si>
    <t>y</t>
  </si>
  <si>
    <t>Pre-Op</t>
  </si>
  <si>
    <t>12 Month Follow-Up</t>
  </si>
  <si>
    <t>WHODAS QOL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</si>
</sst>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horizontal="righ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"(In The</a:t>
            </a:r>
            <a:r>
              <a:rPr lang="en-US" b="1" i="1" baseline="0"/>
              <a:t> Past 30 Days) </a:t>
            </a:r>
            <a:r>
              <a:rPr lang="en-US" b="1" i="1"/>
              <a:t>How Many Days Were</a:t>
            </a:r>
            <a:r>
              <a:rPr lang="en-US" b="1" i="1" baseline="0"/>
              <a:t> You Totally Unable to Carry Out Your Usual Activities or Work Because of Any Health Condition?"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Sheet1!$C$2:$C$59</c:f>
              <c:numCache>
                <c:formatCode>General</c:formatCode>
                <c:ptCount val="58"/>
                <c:pt idx="0">
                  <c:v>1.9323197256936175</c:v>
                </c:pt>
                <c:pt idx="1">
                  <c:v>2.1251746780748912</c:v>
                </c:pt>
                <c:pt idx="2">
                  <c:v>1.8704481338523276</c:v>
                </c:pt>
                <c:pt idx="3">
                  <c:v>2.0426783146750509</c:v>
                </c:pt>
                <c:pt idx="4">
                  <c:v>1.8991082767517304</c:v>
                </c:pt>
                <c:pt idx="5">
                  <c:v>2.1432070280548174</c:v>
                </c:pt>
                <c:pt idx="6">
                  <c:v>2.1123296073352615</c:v>
                </c:pt>
                <c:pt idx="7">
                  <c:v>2.0386179104032962</c:v>
                </c:pt>
                <c:pt idx="8">
                  <c:v>1.8523087290797593</c:v>
                </c:pt>
                <c:pt idx="9">
                  <c:v>2.1140430430088317</c:v>
                </c:pt>
                <c:pt idx="10">
                  <c:v>2.0535561475596538</c:v>
                </c:pt>
                <c:pt idx="11">
                  <c:v>2.0795213568286766</c:v>
                </c:pt>
                <c:pt idx="12">
                  <c:v>1.8769056742600456</c:v>
                </c:pt>
                <c:pt idx="13">
                  <c:v>1.95484853067874</c:v>
                </c:pt>
                <c:pt idx="14">
                  <c:v>2.0549137980421719</c:v>
                </c:pt>
                <c:pt idx="15">
                  <c:v>1.9592511043954739</c:v>
                </c:pt>
                <c:pt idx="16">
                  <c:v>1.9947391709618416</c:v>
                </c:pt>
                <c:pt idx="17">
                  <c:v>2.0953454196428458</c:v>
                </c:pt>
                <c:pt idx="18">
                  <c:v>1.8911872779193475</c:v>
                </c:pt>
                <c:pt idx="19">
                  <c:v>1.9243208553098838</c:v>
                </c:pt>
                <c:pt idx="20">
                  <c:v>1.8591229728774767</c:v>
                </c:pt>
                <c:pt idx="21">
                  <c:v>2.0325981784004776</c:v>
                </c:pt>
                <c:pt idx="22">
                  <c:v>2.1225673006117729</c:v>
                </c:pt>
                <c:pt idx="23">
                  <c:v>1.9828746221013733</c:v>
                </c:pt>
                <c:pt idx="24">
                  <c:v>1.9917333694818367</c:v>
                </c:pt>
                <c:pt idx="25">
                  <c:v>2.0997398287082607</c:v>
                </c:pt>
                <c:pt idx="26">
                  <c:v>1.8939042078849244</c:v>
                </c:pt>
                <c:pt idx="27">
                  <c:v>1.9586553842538186</c:v>
                </c:pt>
                <c:pt idx="28">
                  <c:v>2.1327829130533704</c:v>
                </c:pt>
                <c:pt idx="29">
                  <c:v>0.86332764433050158</c:v>
                </c:pt>
                <c:pt idx="30">
                  <c:v>1.0864545249532498</c:v>
                </c:pt>
                <c:pt idx="31">
                  <c:v>0.89525014854052654</c:v>
                </c:pt>
                <c:pt idx="32">
                  <c:v>1.0694189563295551</c:v>
                </c:pt>
                <c:pt idx="33">
                  <c:v>0.99989611118254595</c:v>
                </c:pt>
                <c:pt idx="34">
                  <c:v>0.96027454589841543</c:v>
                </c:pt>
                <c:pt idx="35">
                  <c:v>0.86559893264876187</c:v>
                </c:pt>
                <c:pt idx="36">
                  <c:v>0.92283655188893454</c:v>
                </c:pt>
                <c:pt idx="37">
                  <c:v>0.97856667401109421</c:v>
                </c:pt>
                <c:pt idx="38">
                  <c:v>1.0462158162327981</c:v>
                </c:pt>
                <c:pt idx="39">
                  <c:v>1.1085715643938026</c:v>
                </c:pt>
                <c:pt idx="40">
                  <c:v>0.90718390922179137</c:v>
                </c:pt>
                <c:pt idx="41">
                  <c:v>0.90573014825006337</c:v>
                </c:pt>
                <c:pt idx="42">
                  <c:v>0.86902926727135732</c:v>
                </c:pt>
                <c:pt idx="43">
                  <c:v>0.88439830873224534</c:v>
                </c:pt>
                <c:pt idx="44">
                  <c:v>0.8915121308892765</c:v>
                </c:pt>
                <c:pt idx="45">
                  <c:v>0.86368810286415632</c:v>
                </c:pt>
                <c:pt idx="46">
                  <c:v>0.89125048075870572</c:v>
                </c:pt>
                <c:pt idx="47">
                  <c:v>0.8803288142399196</c:v>
                </c:pt>
                <c:pt idx="48">
                  <c:v>1.0248517542912221</c:v>
                </c:pt>
                <c:pt idx="49">
                  <c:v>1.0252522641027786</c:v>
                </c:pt>
                <c:pt idx="50">
                  <c:v>0.93613418968060258</c:v>
                </c:pt>
                <c:pt idx="51">
                  <c:v>0.93322968130661388</c:v>
                </c:pt>
                <c:pt idx="52">
                  <c:v>0.93512691832626893</c:v>
                </c:pt>
                <c:pt idx="53">
                  <c:v>0.9276674773090825</c:v>
                </c:pt>
                <c:pt idx="54">
                  <c:v>0.96375923254360341</c:v>
                </c:pt>
                <c:pt idx="55">
                  <c:v>1.1287368078143651</c:v>
                </c:pt>
                <c:pt idx="56">
                  <c:v>1.070955541350243</c:v>
                </c:pt>
                <c:pt idx="57">
                  <c:v>0.93064835960265446</c:v>
                </c:pt>
              </c:numCache>
            </c:numRef>
          </c:xVal>
          <c:yVal>
            <c:numRef>
              <c:f>Sheet1!$D$2:$D$59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12</c:v>
                </c:pt>
                <c:pt idx="41">
                  <c:v>5</c:v>
                </c:pt>
                <c:pt idx="42">
                  <c:v>0</c:v>
                </c:pt>
                <c:pt idx="43">
                  <c:v>4</c:v>
                </c:pt>
                <c:pt idx="44">
                  <c:v>5</c:v>
                </c:pt>
                <c:pt idx="45">
                  <c:v>5</c:v>
                </c:pt>
                <c:pt idx="46">
                  <c:v>0</c:v>
                </c:pt>
                <c:pt idx="47">
                  <c:v>8</c:v>
                </c:pt>
                <c:pt idx="48">
                  <c:v>0</c:v>
                </c:pt>
                <c:pt idx="49">
                  <c:v>2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12</c:v>
                </c:pt>
                <c:pt idx="56">
                  <c:v>5</c:v>
                </c:pt>
                <c:pt idx="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2-4DB5-B5DF-F941B190C14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795975392"/>
        <c:axId val="1795975872"/>
      </c:scatterChart>
      <c:valAx>
        <c:axId val="1795975392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               </a:t>
                </a:r>
                <a:r>
                  <a:rPr lang="en-US" b="1" baseline="0"/>
                  <a:t>         </a:t>
                </a:r>
                <a:r>
                  <a:rPr lang="en-US" b="1"/>
                  <a:t>     PreOp</a:t>
                </a:r>
                <a:r>
                  <a:rPr lang="en-US" b="1" baseline="0"/>
                  <a:t>                                                                        12 Month Follow-Up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17441261531316629"/>
              <c:y val="0.91711444804001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795975872"/>
        <c:crosses val="autoZero"/>
        <c:crossBetween val="midCat"/>
      </c:valAx>
      <c:valAx>
        <c:axId val="179597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97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"(In The Past 30 Days) How Many Days Were These Difficulties Present?"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Sheet1!$D$67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Sheet1!$C$68:$C$125</c:f>
              <c:numCache>
                <c:formatCode>General</c:formatCode>
                <c:ptCount val="58"/>
                <c:pt idx="0">
                  <c:v>2.0986495670394518</c:v>
                </c:pt>
                <c:pt idx="1">
                  <c:v>1.9680091816319623</c:v>
                </c:pt>
                <c:pt idx="2">
                  <c:v>2.0804273403970517</c:v>
                </c:pt>
                <c:pt idx="3">
                  <c:v>1.980824288493729</c:v>
                </c:pt>
                <c:pt idx="4">
                  <c:v>2.0935422918325322</c:v>
                </c:pt>
                <c:pt idx="5">
                  <c:v>2.0758010730024696</c:v>
                </c:pt>
                <c:pt idx="6">
                  <c:v>1.8951304372114008</c:v>
                </c:pt>
                <c:pt idx="7">
                  <c:v>1.9389830512076491</c:v>
                </c:pt>
                <c:pt idx="8">
                  <c:v>1.994615226526004</c:v>
                </c:pt>
                <c:pt idx="9">
                  <c:v>2.037247463657184</c:v>
                </c:pt>
                <c:pt idx="10">
                  <c:v>2.0649025768650162</c:v>
                </c:pt>
                <c:pt idx="11">
                  <c:v>2.1159683000421152</c:v>
                </c:pt>
                <c:pt idx="12">
                  <c:v>2.0722275691099741</c:v>
                </c:pt>
                <c:pt idx="13">
                  <c:v>1.8974332017344178</c:v>
                </c:pt>
                <c:pt idx="14">
                  <c:v>1.8771367492612465</c:v>
                </c:pt>
                <c:pt idx="15">
                  <c:v>1.867920129257477</c:v>
                </c:pt>
                <c:pt idx="16">
                  <c:v>1.9491045546889805</c:v>
                </c:pt>
                <c:pt idx="17">
                  <c:v>1.9882988104777171</c:v>
                </c:pt>
                <c:pt idx="18">
                  <c:v>2.1261634810004768</c:v>
                </c:pt>
                <c:pt idx="19">
                  <c:v>2.0665417584884818</c:v>
                </c:pt>
                <c:pt idx="20">
                  <c:v>2.0990279488313379</c:v>
                </c:pt>
                <c:pt idx="21">
                  <c:v>1.8790278769362176</c:v>
                </c:pt>
                <c:pt idx="22">
                  <c:v>2.0277213472234834</c:v>
                </c:pt>
                <c:pt idx="23">
                  <c:v>1.8941902145894565</c:v>
                </c:pt>
                <c:pt idx="24">
                  <c:v>1.8973703929547217</c:v>
                </c:pt>
                <c:pt idx="25">
                  <c:v>1.919545503079334</c:v>
                </c:pt>
                <c:pt idx="26">
                  <c:v>2.0379958728864795</c:v>
                </c:pt>
                <c:pt idx="27">
                  <c:v>2.0577213498667475</c:v>
                </c:pt>
                <c:pt idx="28">
                  <c:v>2.1068641181011589</c:v>
                </c:pt>
                <c:pt idx="29">
                  <c:v>1.1354309128457936</c:v>
                </c:pt>
                <c:pt idx="30">
                  <c:v>0.96583492575886865</c:v>
                </c:pt>
                <c:pt idx="31">
                  <c:v>0.86476323312969583</c:v>
                </c:pt>
                <c:pt idx="32">
                  <c:v>0.87066144195958839</c:v>
                </c:pt>
                <c:pt idx="33">
                  <c:v>1.1073092861908398</c:v>
                </c:pt>
                <c:pt idx="34">
                  <c:v>0.87469659161351476</c:v>
                </c:pt>
                <c:pt idx="35">
                  <c:v>1.1441072071900475</c:v>
                </c:pt>
                <c:pt idx="36">
                  <c:v>1.0773808963548004</c:v>
                </c:pt>
                <c:pt idx="37">
                  <c:v>1.1249918028961376</c:v>
                </c:pt>
                <c:pt idx="38">
                  <c:v>1.0934886240341157</c:v>
                </c:pt>
                <c:pt idx="39">
                  <c:v>1.0371479878850118</c:v>
                </c:pt>
                <c:pt idx="40">
                  <c:v>1.0778731875044771</c:v>
                </c:pt>
                <c:pt idx="41">
                  <c:v>0.91774595398847991</c:v>
                </c:pt>
                <c:pt idx="42">
                  <c:v>1.0702910807122616</c:v>
                </c:pt>
                <c:pt idx="43">
                  <c:v>0.95394139680881862</c:v>
                </c:pt>
                <c:pt idx="44">
                  <c:v>0.95798529325277559</c:v>
                </c:pt>
                <c:pt idx="45">
                  <c:v>0.90557660736233436</c:v>
                </c:pt>
                <c:pt idx="46">
                  <c:v>0.89137766359155235</c:v>
                </c:pt>
                <c:pt idx="47">
                  <c:v>1.1484062172332568</c:v>
                </c:pt>
                <c:pt idx="48">
                  <c:v>0.85286133127451169</c:v>
                </c:pt>
                <c:pt idx="49">
                  <c:v>1.0711506350380535</c:v>
                </c:pt>
                <c:pt idx="50">
                  <c:v>0.93459602794564234</c:v>
                </c:pt>
                <c:pt idx="51">
                  <c:v>0.90364753441810786</c:v>
                </c:pt>
                <c:pt idx="52">
                  <c:v>0.88278843039668697</c:v>
                </c:pt>
                <c:pt idx="53">
                  <c:v>1.0199738214767093</c:v>
                </c:pt>
                <c:pt idx="54">
                  <c:v>0.96283374344892958</c:v>
                </c:pt>
                <c:pt idx="55">
                  <c:v>1.0496168604934355</c:v>
                </c:pt>
                <c:pt idx="56">
                  <c:v>0.95332447223467709</c:v>
                </c:pt>
                <c:pt idx="57">
                  <c:v>0.97369655482535789</c:v>
                </c:pt>
              </c:numCache>
            </c:numRef>
          </c:xVal>
          <c:yVal>
            <c:numRef>
              <c:f>Sheet1!$D$68:$D$125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</c:v>
                </c:pt>
                <c:pt idx="41">
                  <c:v>4</c:v>
                </c:pt>
                <c:pt idx="42">
                  <c:v>0</c:v>
                </c:pt>
                <c:pt idx="43">
                  <c:v>4</c:v>
                </c:pt>
                <c:pt idx="44">
                  <c:v>20</c:v>
                </c:pt>
                <c:pt idx="45">
                  <c:v>5</c:v>
                </c:pt>
                <c:pt idx="46">
                  <c:v>0</c:v>
                </c:pt>
                <c:pt idx="47">
                  <c:v>7</c:v>
                </c:pt>
                <c:pt idx="48">
                  <c:v>0</c:v>
                </c:pt>
                <c:pt idx="49">
                  <c:v>5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</c:v>
                </c:pt>
                <c:pt idx="56">
                  <c:v>4</c:v>
                </c:pt>
                <c:pt idx="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2-4DD5-A360-F82AD03FF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789104"/>
        <c:axId val="2114772784"/>
      </c:scatterChart>
      <c:valAx>
        <c:axId val="2114789104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                            PreOp</a:t>
                </a:r>
                <a:r>
                  <a:rPr lang="en-US" b="1" baseline="0"/>
                  <a:t>                                                                        12 Month Follow-Up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15280319359521399"/>
              <c:y val="0.92073411677811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114772784"/>
        <c:crosses val="autoZero"/>
        <c:crossBetween val="midCat"/>
      </c:valAx>
      <c:valAx>
        <c:axId val="21147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78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"(In</a:t>
            </a:r>
            <a:r>
              <a:rPr lang="en-US" b="1" i="1" baseline="0"/>
              <a:t> The Past 30 Days) Not Counting The Days You Were Totally Unable, How Many Days Did You Cut Back Your Usual Activities Or Work Because of Any Health Condition?"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Sheet1!$D$130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Sheet1!$C$131:$C$188</c:f>
              <c:numCache>
                <c:formatCode>General</c:formatCode>
                <c:ptCount val="58"/>
                <c:pt idx="0">
                  <c:v>1.901715710770032</c:v>
                </c:pt>
                <c:pt idx="1">
                  <c:v>2.1164694867610407</c:v>
                </c:pt>
                <c:pt idx="2">
                  <c:v>2.0387099233334851</c:v>
                </c:pt>
                <c:pt idx="3">
                  <c:v>1.9880115523461728</c:v>
                </c:pt>
                <c:pt idx="4">
                  <c:v>2.1250325763030862</c:v>
                </c:pt>
                <c:pt idx="5">
                  <c:v>2.1410053809265106</c:v>
                </c:pt>
                <c:pt idx="6">
                  <c:v>1.8736619312532186</c:v>
                </c:pt>
                <c:pt idx="7">
                  <c:v>2.0133216318823171</c:v>
                </c:pt>
                <c:pt idx="8">
                  <c:v>2.0112582603405325</c:v>
                </c:pt>
                <c:pt idx="9">
                  <c:v>2.1493032420123495</c:v>
                </c:pt>
                <c:pt idx="10">
                  <c:v>2.0258060175051842</c:v>
                </c:pt>
                <c:pt idx="11">
                  <c:v>2.1168368980622949</c:v>
                </c:pt>
                <c:pt idx="12">
                  <c:v>1.9854521984115123</c:v>
                </c:pt>
                <c:pt idx="13">
                  <c:v>1.9178410555148229</c:v>
                </c:pt>
                <c:pt idx="14">
                  <c:v>2.1450791671526281</c:v>
                </c:pt>
                <c:pt idx="15">
                  <c:v>1.9854973427807707</c:v>
                </c:pt>
                <c:pt idx="16">
                  <c:v>1.9043417073809843</c:v>
                </c:pt>
                <c:pt idx="17">
                  <c:v>1.9561476069198678</c:v>
                </c:pt>
                <c:pt idx="18">
                  <c:v>1.9776968385709313</c:v>
                </c:pt>
                <c:pt idx="19">
                  <c:v>1.9790968451857656</c:v>
                </c:pt>
                <c:pt idx="20">
                  <c:v>2.0886981978066177</c:v>
                </c:pt>
                <c:pt idx="21">
                  <c:v>1.9771302030368556</c:v>
                </c:pt>
                <c:pt idx="22">
                  <c:v>1.9295841742675424</c:v>
                </c:pt>
                <c:pt idx="23">
                  <c:v>1.885549850210442</c:v>
                </c:pt>
                <c:pt idx="24">
                  <c:v>1.8734527527391975</c:v>
                </c:pt>
                <c:pt idx="25">
                  <c:v>1.854503547384619</c:v>
                </c:pt>
                <c:pt idx="26">
                  <c:v>2.0295823235539978</c:v>
                </c:pt>
                <c:pt idx="27">
                  <c:v>2.1206958915450485</c:v>
                </c:pt>
                <c:pt idx="28">
                  <c:v>2.0248730691724548</c:v>
                </c:pt>
                <c:pt idx="29">
                  <c:v>0.99862963716750996</c:v>
                </c:pt>
                <c:pt idx="30">
                  <c:v>0.93832726860761329</c:v>
                </c:pt>
                <c:pt idx="31">
                  <c:v>1.0358921764006577</c:v>
                </c:pt>
                <c:pt idx="32">
                  <c:v>1.1148212325656206</c:v>
                </c:pt>
                <c:pt idx="33">
                  <c:v>0.86616904073845702</c:v>
                </c:pt>
                <c:pt idx="34">
                  <c:v>1.0438391767422674</c:v>
                </c:pt>
                <c:pt idx="35">
                  <c:v>1.1098868803955995</c:v>
                </c:pt>
                <c:pt idx="36">
                  <c:v>1.0119186603744521</c:v>
                </c:pt>
                <c:pt idx="37">
                  <c:v>1.1452829662181314</c:v>
                </c:pt>
                <c:pt idx="38">
                  <c:v>0.92293395832360348</c:v>
                </c:pt>
                <c:pt idx="39">
                  <c:v>0.88834499946320655</c:v>
                </c:pt>
                <c:pt idx="40">
                  <c:v>1.0941356487221925</c:v>
                </c:pt>
                <c:pt idx="41">
                  <c:v>1.0835252879172437</c:v>
                </c:pt>
                <c:pt idx="42">
                  <c:v>1.1217082420320243</c:v>
                </c:pt>
                <c:pt idx="43">
                  <c:v>1.0810625908442324</c:v>
                </c:pt>
                <c:pt idx="44">
                  <c:v>1.0240431826014724</c:v>
                </c:pt>
                <c:pt idx="45">
                  <c:v>0.92206509601947295</c:v>
                </c:pt>
                <c:pt idx="46">
                  <c:v>1.0783762393617802</c:v>
                </c:pt>
                <c:pt idx="47">
                  <c:v>0.94107184215454009</c:v>
                </c:pt>
                <c:pt idx="48">
                  <c:v>0.92662169534913374</c:v>
                </c:pt>
                <c:pt idx="49">
                  <c:v>0.89590407880662093</c:v>
                </c:pt>
                <c:pt idx="50">
                  <c:v>1.0732064414852449</c:v>
                </c:pt>
                <c:pt idx="51">
                  <c:v>1.1392163495511167</c:v>
                </c:pt>
                <c:pt idx="52">
                  <c:v>0.88054514265468831</c:v>
                </c:pt>
                <c:pt idx="53">
                  <c:v>1.1285631273682075</c:v>
                </c:pt>
                <c:pt idx="54">
                  <c:v>0.87336443338878678</c:v>
                </c:pt>
                <c:pt idx="55">
                  <c:v>0.90115193220425049</c:v>
                </c:pt>
                <c:pt idx="56">
                  <c:v>1.1204434869638764</c:v>
                </c:pt>
                <c:pt idx="57">
                  <c:v>0.94272925559456033</c:v>
                </c:pt>
              </c:numCache>
            </c:numRef>
          </c:xVal>
          <c:yVal>
            <c:numRef>
              <c:f>Sheet1!$D$131:$D$188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30</c:v>
                </c:pt>
                <c:pt idx="35">
                  <c:v>0</c:v>
                </c:pt>
                <c:pt idx="36">
                  <c:v>0</c:v>
                </c:pt>
                <c:pt idx="37">
                  <c:v>30</c:v>
                </c:pt>
                <c:pt idx="38">
                  <c:v>30</c:v>
                </c:pt>
                <c:pt idx="39">
                  <c:v>0</c:v>
                </c:pt>
                <c:pt idx="40">
                  <c:v>10</c:v>
                </c:pt>
                <c:pt idx="41">
                  <c:v>5</c:v>
                </c:pt>
                <c:pt idx="42">
                  <c:v>0</c:v>
                </c:pt>
                <c:pt idx="43">
                  <c:v>4</c:v>
                </c:pt>
                <c:pt idx="44">
                  <c:v>5</c:v>
                </c:pt>
                <c:pt idx="45">
                  <c:v>5</c:v>
                </c:pt>
                <c:pt idx="46">
                  <c:v>0</c:v>
                </c:pt>
                <c:pt idx="47">
                  <c:v>2</c:v>
                </c:pt>
                <c:pt idx="48">
                  <c:v>30</c:v>
                </c:pt>
                <c:pt idx="49">
                  <c:v>3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30</c:v>
                </c:pt>
                <c:pt idx="54">
                  <c:v>0</c:v>
                </c:pt>
                <c:pt idx="55">
                  <c:v>10</c:v>
                </c:pt>
                <c:pt idx="56">
                  <c:v>5</c:v>
                </c:pt>
                <c:pt idx="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5-4004-B086-2AF8630AB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784304"/>
        <c:axId val="2114786704"/>
      </c:scatterChart>
      <c:valAx>
        <c:axId val="2114784304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                            PreOp</a:t>
                </a:r>
                <a:r>
                  <a:rPr lang="en-US" b="1" baseline="0"/>
                  <a:t>                                                                        12 Month Follow-Up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16665995070118308"/>
              <c:y val="0.920010205549539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114786704"/>
        <c:crosses val="autoZero"/>
        <c:crossBetween val="midCat"/>
      </c:valAx>
      <c:valAx>
        <c:axId val="211478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78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WHODAS QOL Score (Mean + Max/Min)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Sheet1!$A$195</c:f>
              <c:strCache>
                <c:ptCount val="1"/>
                <c:pt idx="0">
                  <c:v>WHODAS QOL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650285093673635"/>
                  <c:y val="-6.72530553058030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8C-47D1-A427-478B847F09C0}"/>
                </c:ext>
              </c:extLst>
            </c:dLbl>
            <c:dLbl>
              <c:idx val="1"/>
              <c:layout>
                <c:manualLayout>
                  <c:x val="-0.10803541798654479"/>
                  <c:y val="-9.41657811804666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8C-47D1-A427-478B847F09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2"/>
                <c:pt idx="0">
                  <c:v>33.901000000000003</c:v>
                </c:pt>
                <c:pt idx="1">
                  <c:v>16.600000000000001</c:v>
                </c:pt>
              </c:numLit>
            </c:plus>
            <c:minus>
              <c:numLit>
                <c:formatCode>General</c:formatCode>
                <c:ptCount val="2"/>
                <c:pt idx="0">
                  <c:v>37</c:v>
                </c:pt>
                <c:pt idx="1">
                  <c:v>13</c:v>
                </c:pt>
              </c:numLit>
            </c:minus>
            <c:spPr>
              <a:noFill/>
              <a:ln w="19050" cap="flat" cmpd="sng" algn="ctr">
                <a:solidFill>
                  <a:srgbClr val="0070C0">
                    <a:alpha val="96000"/>
                  </a:srgbClr>
                </a:solidFill>
                <a:round/>
              </a:ln>
              <a:effectLst/>
            </c:spPr>
          </c:errBars>
          <c:cat>
            <c:strRef>
              <c:f>Sheet1!$B$194:$C$194</c:f>
              <c:strCache>
                <c:ptCount val="2"/>
                <c:pt idx="0">
                  <c:v>Pre-Op</c:v>
                </c:pt>
                <c:pt idx="1">
                  <c:v>12 Month Follow-Up</c:v>
                </c:pt>
              </c:strCache>
            </c:strRef>
          </c:cat>
          <c:val>
            <c:numRef>
              <c:f>Sheet1!$B$195:$C$195</c:f>
              <c:numCache>
                <c:formatCode>General</c:formatCode>
                <c:ptCount val="2"/>
                <c:pt idx="0">
                  <c:v>66.090999999999994</c:v>
                </c:pt>
                <c:pt idx="1">
                  <c:v>83.04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C-47D1-A427-478B847F09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633264"/>
        <c:axId val="86637104"/>
      </c:lineChart>
      <c:catAx>
        <c:axId val="8663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37104"/>
        <c:crosses val="autoZero"/>
        <c:auto val="1"/>
        <c:lblAlgn val="ctr"/>
        <c:lblOffset val="100"/>
        <c:noMultiLvlLbl val="0"/>
      </c:catAx>
      <c:valAx>
        <c:axId val="866371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3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6</xdr:row>
      <xdr:rowOff>80010</xdr:rowOff>
    </xdr:from>
    <xdr:to>
      <xdr:col>15</xdr:col>
      <xdr:colOff>381000</xdr:colOff>
      <xdr:row>24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38D6E7-3C7C-1EE6-CD3D-BE6865B51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243840</xdr:colOff>
      <xdr:row>66</xdr:row>
      <xdr:rowOff>41910</xdr:rowOff>
    </xdr:from>
    <xdr:to>
      <xdr:col>15</xdr:col>
      <xdr:colOff>213360</xdr:colOff>
      <xdr:row>86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B8E7B1-C437-E619-C6B4-5CF0D6C2C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533400</xdr:colOff>
      <xdr:row>134</xdr:row>
      <xdr:rowOff>171450</xdr:rowOff>
    </xdr:from>
    <xdr:to>
      <xdr:col>15</xdr:col>
      <xdr:colOff>0</xdr:colOff>
      <xdr:row>154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6FD983-D320-78F6-5B1E-DD6428650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396240</xdr:colOff>
      <xdr:row>184</xdr:row>
      <xdr:rowOff>118110</xdr:rowOff>
    </xdr:from>
    <xdr:to>
      <xdr:col>15</xdr:col>
      <xdr:colOff>266700</xdr:colOff>
      <xdr:row>202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2BC0F6-2037-018A-9F9F-FF156BD15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tabSelected="1" topLeftCell="A179" workbookViewId="0">
      <selection activeCell="F204" sqref="F204"/>
    </sheetView>
  </sheetViews>
  <sheetFormatPr defaultRowHeight="14.4" x14ac:dyDescent="0.3"/>
  <sheetData>
    <row r="1" spans="1:4" ht="15" thickBot="1" x14ac:dyDescent="0.35">
      <c r="A1" t="s">
        <v>0</v>
      </c>
      <c r="B1" t="s">
        <v>1</v>
      </c>
      <c r="C1" t="s">
        <v>0</v>
      </c>
      <c r="D1" t="s">
        <v>1</v>
      </c>
    </row>
    <row r="2" spans="1:4" ht="15" thickBot="1" x14ac:dyDescent="0.35">
      <c r="A2" s="1">
        <v>2</v>
      </c>
      <c r="B2" s="2">
        <v>0</v>
      </c>
      <c r="C2">
        <f ca="1">A2 + ((RAND() - 0.5) * 0.3)</f>
        <v>1.9323197256936175</v>
      </c>
      <c r="D2" s="2">
        <v>0</v>
      </c>
    </row>
    <row r="3" spans="1:4" ht="15" thickBot="1" x14ac:dyDescent="0.35">
      <c r="A3" s="1">
        <v>2</v>
      </c>
      <c r="B3" s="2">
        <v>0</v>
      </c>
      <c r="C3">
        <f t="shared" ref="C3:C59" ca="1" si="0">A3 + ((RAND() - 0.5) * 0.3)</f>
        <v>2.1251746780748912</v>
      </c>
      <c r="D3" s="2">
        <v>0</v>
      </c>
    </row>
    <row r="4" spans="1:4" ht="15" thickBot="1" x14ac:dyDescent="0.35">
      <c r="A4" s="1">
        <v>2</v>
      </c>
      <c r="B4" s="2">
        <v>0</v>
      </c>
      <c r="C4">
        <f t="shared" ca="1" si="0"/>
        <v>1.8704481338523276</v>
      </c>
      <c r="D4" s="2">
        <v>0</v>
      </c>
    </row>
    <row r="5" spans="1:4" ht="15" thickBot="1" x14ac:dyDescent="0.35">
      <c r="A5" s="1">
        <v>2</v>
      </c>
      <c r="B5" s="2">
        <v>0</v>
      </c>
      <c r="C5">
        <f t="shared" ca="1" si="0"/>
        <v>2.0426783146750509</v>
      </c>
      <c r="D5" s="2">
        <v>0</v>
      </c>
    </row>
    <row r="6" spans="1:4" ht="15" thickBot="1" x14ac:dyDescent="0.35">
      <c r="A6" s="1">
        <v>2</v>
      </c>
      <c r="B6" s="2">
        <v>0</v>
      </c>
      <c r="C6">
        <f t="shared" ca="1" si="0"/>
        <v>1.8991082767517304</v>
      </c>
      <c r="D6" s="2">
        <v>0</v>
      </c>
    </row>
    <row r="7" spans="1:4" ht="15" thickBot="1" x14ac:dyDescent="0.35">
      <c r="A7" s="1">
        <v>2</v>
      </c>
      <c r="B7" s="2">
        <v>0</v>
      </c>
      <c r="C7">
        <f t="shared" ca="1" si="0"/>
        <v>2.1432070280548174</v>
      </c>
      <c r="D7" s="2">
        <v>0</v>
      </c>
    </row>
    <row r="8" spans="1:4" ht="15" thickBot="1" x14ac:dyDescent="0.35">
      <c r="A8" s="1">
        <v>2</v>
      </c>
      <c r="B8" s="2">
        <v>0</v>
      </c>
      <c r="C8">
        <f t="shared" ca="1" si="0"/>
        <v>2.1123296073352615</v>
      </c>
      <c r="D8" s="2">
        <v>0</v>
      </c>
    </row>
    <row r="9" spans="1:4" ht="15" thickBot="1" x14ac:dyDescent="0.35">
      <c r="A9" s="1">
        <v>2</v>
      </c>
      <c r="B9" s="2">
        <v>0</v>
      </c>
      <c r="C9">
        <f t="shared" ca="1" si="0"/>
        <v>2.0386179104032962</v>
      </c>
      <c r="D9" s="2">
        <v>0</v>
      </c>
    </row>
    <row r="10" spans="1:4" ht="15" thickBot="1" x14ac:dyDescent="0.35">
      <c r="A10" s="1">
        <v>2</v>
      </c>
      <c r="B10" s="2">
        <v>0</v>
      </c>
      <c r="C10">
        <f t="shared" ca="1" si="0"/>
        <v>1.8523087290797593</v>
      </c>
      <c r="D10" s="2">
        <v>0</v>
      </c>
    </row>
    <row r="11" spans="1:4" ht="15" thickBot="1" x14ac:dyDescent="0.35">
      <c r="A11" s="1">
        <v>2</v>
      </c>
      <c r="B11" s="2">
        <v>0</v>
      </c>
      <c r="C11">
        <f t="shared" ca="1" si="0"/>
        <v>2.1140430430088317</v>
      </c>
      <c r="D11" s="2">
        <v>0</v>
      </c>
    </row>
    <row r="12" spans="1:4" ht="15" thickBot="1" x14ac:dyDescent="0.35">
      <c r="A12" s="1">
        <v>2</v>
      </c>
      <c r="B12" s="2">
        <v>0</v>
      </c>
      <c r="C12">
        <f t="shared" ca="1" si="0"/>
        <v>2.0535561475596538</v>
      </c>
      <c r="D12" s="2">
        <v>0</v>
      </c>
    </row>
    <row r="13" spans="1:4" ht="15" thickBot="1" x14ac:dyDescent="0.35">
      <c r="A13" s="1">
        <v>2</v>
      </c>
      <c r="B13" s="2">
        <v>0</v>
      </c>
      <c r="C13">
        <f t="shared" ca="1" si="0"/>
        <v>2.0795213568286766</v>
      </c>
      <c r="D13" s="2">
        <v>0</v>
      </c>
    </row>
    <row r="14" spans="1:4" ht="15" thickBot="1" x14ac:dyDescent="0.35">
      <c r="A14" s="1">
        <v>2</v>
      </c>
      <c r="B14" s="2">
        <v>0</v>
      </c>
      <c r="C14">
        <f t="shared" ca="1" si="0"/>
        <v>1.8769056742600456</v>
      </c>
      <c r="D14" s="2">
        <v>0</v>
      </c>
    </row>
    <row r="15" spans="1:4" ht="15" thickBot="1" x14ac:dyDescent="0.35">
      <c r="A15" s="1">
        <v>2</v>
      </c>
      <c r="B15" s="2">
        <v>0</v>
      </c>
      <c r="C15">
        <f t="shared" ca="1" si="0"/>
        <v>1.95484853067874</v>
      </c>
      <c r="D15" s="2">
        <v>0</v>
      </c>
    </row>
    <row r="16" spans="1:4" ht="15" thickBot="1" x14ac:dyDescent="0.35">
      <c r="A16" s="1">
        <v>2</v>
      </c>
      <c r="B16" s="2">
        <v>0</v>
      </c>
      <c r="C16">
        <f t="shared" ca="1" si="0"/>
        <v>2.0549137980421719</v>
      </c>
      <c r="D16" s="2">
        <v>0</v>
      </c>
    </row>
    <row r="17" spans="1:4" ht="15" thickBot="1" x14ac:dyDescent="0.35">
      <c r="A17" s="1">
        <v>2</v>
      </c>
      <c r="B17" s="2">
        <v>0</v>
      </c>
      <c r="C17">
        <f t="shared" ca="1" si="0"/>
        <v>1.9592511043954739</v>
      </c>
      <c r="D17" s="2">
        <v>0</v>
      </c>
    </row>
    <row r="18" spans="1:4" ht="15" thickBot="1" x14ac:dyDescent="0.35">
      <c r="A18" s="1">
        <v>2</v>
      </c>
      <c r="B18" s="2">
        <v>0</v>
      </c>
      <c r="C18">
        <f t="shared" ca="1" si="0"/>
        <v>1.9947391709618416</v>
      </c>
      <c r="D18" s="2">
        <v>0</v>
      </c>
    </row>
    <row r="19" spans="1:4" ht="15" thickBot="1" x14ac:dyDescent="0.35">
      <c r="A19" s="1">
        <v>2</v>
      </c>
      <c r="B19" s="2">
        <v>0</v>
      </c>
      <c r="C19">
        <f t="shared" ca="1" si="0"/>
        <v>2.0953454196428458</v>
      </c>
      <c r="D19" s="2">
        <v>0</v>
      </c>
    </row>
    <row r="20" spans="1:4" ht="15" thickBot="1" x14ac:dyDescent="0.35">
      <c r="A20" s="1">
        <v>2</v>
      </c>
      <c r="B20" s="2">
        <v>0</v>
      </c>
      <c r="C20">
        <f t="shared" ca="1" si="0"/>
        <v>1.8911872779193475</v>
      </c>
      <c r="D20" s="2">
        <v>0</v>
      </c>
    </row>
    <row r="21" spans="1:4" ht="15" thickBot="1" x14ac:dyDescent="0.35">
      <c r="A21" s="1">
        <v>2</v>
      </c>
      <c r="B21" s="2">
        <v>0</v>
      </c>
      <c r="C21">
        <f t="shared" ca="1" si="0"/>
        <v>1.9243208553098838</v>
      </c>
      <c r="D21" s="2">
        <v>0</v>
      </c>
    </row>
    <row r="22" spans="1:4" ht="15" thickBot="1" x14ac:dyDescent="0.35">
      <c r="A22" s="1">
        <v>2</v>
      </c>
      <c r="B22" s="2">
        <v>0</v>
      </c>
      <c r="C22">
        <f t="shared" ca="1" si="0"/>
        <v>1.8591229728774767</v>
      </c>
      <c r="D22" s="2">
        <v>0</v>
      </c>
    </row>
    <row r="23" spans="1:4" ht="15" thickBot="1" x14ac:dyDescent="0.35">
      <c r="A23" s="1">
        <v>2</v>
      </c>
      <c r="B23" s="2">
        <v>0</v>
      </c>
      <c r="C23">
        <f t="shared" ca="1" si="0"/>
        <v>2.0325981784004776</v>
      </c>
      <c r="D23" s="2">
        <v>0</v>
      </c>
    </row>
    <row r="24" spans="1:4" ht="15" thickBot="1" x14ac:dyDescent="0.35">
      <c r="A24" s="1">
        <v>2</v>
      </c>
      <c r="B24" s="2">
        <v>0</v>
      </c>
      <c r="C24">
        <f t="shared" ca="1" si="0"/>
        <v>2.1225673006117729</v>
      </c>
      <c r="D24" s="2">
        <v>0</v>
      </c>
    </row>
    <row r="25" spans="1:4" ht="15" thickBot="1" x14ac:dyDescent="0.35">
      <c r="A25" s="1">
        <v>2</v>
      </c>
      <c r="B25" s="2">
        <v>0</v>
      </c>
      <c r="C25">
        <f t="shared" ca="1" si="0"/>
        <v>1.9828746221013733</v>
      </c>
      <c r="D25" s="2">
        <v>0</v>
      </c>
    </row>
    <row r="26" spans="1:4" ht="15" thickBot="1" x14ac:dyDescent="0.35">
      <c r="A26" s="1">
        <v>2</v>
      </c>
      <c r="B26" s="2">
        <v>0</v>
      </c>
      <c r="C26">
        <f t="shared" ca="1" si="0"/>
        <v>1.9917333694818367</v>
      </c>
      <c r="D26" s="2">
        <v>0</v>
      </c>
    </row>
    <row r="27" spans="1:4" ht="15" thickBot="1" x14ac:dyDescent="0.35">
      <c r="A27" s="1">
        <v>2</v>
      </c>
      <c r="B27" s="2">
        <v>0</v>
      </c>
      <c r="C27">
        <f t="shared" ca="1" si="0"/>
        <v>2.0997398287082607</v>
      </c>
      <c r="D27" s="2">
        <v>0</v>
      </c>
    </row>
    <row r="28" spans="1:4" ht="15" thickBot="1" x14ac:dyDescent="0.35">
      <c r="A28" s="1">
        <v>2</v>
      </c>
      <c r="B28" s="2">
        <v>0</v>
      </c>
      <c r="C28">
        <f t="shared" ca="1" si="0"/>
        <v>1.8939042078849244</v>
      </c>
      <c r="D28" s="2">
        <v>0</v>
      </c>
    </row>
    <row r="29" spans="1:4" ht="15" thickBot="1" x14ac:dyDescent="0.35">
      <c r="A29" s="1">
        <v>2</v>
      </c>
      <c r="B29" s="2">
        <v>0</v>
      </c>
      <c r="C29">
        <f t="shared" ca="1" si="0"/>
        <v>1.9586553842538186</v>
      </c>
      <c r="D29" s="2">
        <v>0</v>
      </c>
    </row>
    <row r="30" spans="1:4" ht="15" thickBot="1" x14ac:dyDescent="0.35">
      <c r="A30" s="1">
        <v>2</v>
      </c>
      <c r="B30" s="2">
        <v>0</v>
      </c>
      <c r="C30">
        <f t="shared" ca="1" si="0"/>
        <v>2.1327829130533704</v>
      </c>
      <c r="D30" s="2">
        <v>0</v>
      </c>
    </row>
    <row r="31" spans="1:4" ht="15" thickBot="1" x14ac:dyDescent="0.35">
      <c r="A31" s="3">
        <v>1</v>
      </c>
      <c r="B31" s="2">
        <v>0</v>
      </c>
      <c r="C31">
        <f t="shared" ca="1" si="0"/>
        <v>0.86332764433050158</v>
      </c>
      <c r="D31" s="2">
        <v>0</v>
      </c>
    </row>
    <row r="32" spans="1:4" ht="15" thickBot="1" x14ac:dyDescent="0.35">
      <c r="A32" s="3">
        <v>1</v>
      </c>
      <c r="B32" s="2">
        <v>4</v>
      </c>
      <c r="C32">
        <f t="shared" ca="1" si="0"/>
        <v>1.0864545249532498</v>
      </c>
      <c r="D32" s="2">
        <v>4</v>
      </c>
    </row>
    <row r="33" spans="1:4" ht="15" thickBot="1" x14ac:dyDescent="0.35">
      <c r="A33" s="3">
        <v>1</v>
      </c>
      <c r="B33" s="2">
        <v>4</v>
      </c>
      <c r="C33">
        <f t="shared" ca="1" si="0"/>
        <v>0.89525014854052654</v>
      </c>
      <c r="D33" s="2">
        <v>4</v>
      </c>
    </row>
    <row r="34" spans="1:4" ht="15" thickBot="1" x14ac:dyDescent="0.35">
      <c r="A34" s="3">
        <v>1</v>
      </c>
      <c r="B34" s="2">
        <v>3</v>
      </c>
      <c r="C34">
        <f t="shared" ca="1" si="0"/>
        <v>1.0694189563295551</v>
      </c>
      <c r="D34" s="2">
        <v>3</v>
      </c>
    </row>
    <row r="35" spans="1:4" ht="15" thickBot="1" x14ac:dyDescent="0.35">
      <c r="A35" s="3">
        <v>1</v>
      </c>
      <c r="B35" s="2">
        <v>5</v>
      </c>
      <c r="C35">
        <f t="shared" ca="1" si="0"/>
        <v>0.99989611118254595</v>
      </c>
      <c r="D35" s="2">
        <v>5</v>
      </c>
    </row>
    <row r="36" spans="1:4" ht="15" thickBot="1" x14ac:dyDescent="0.35">
      <c r="A36" s="3">
        <v>1</v>
      </c>
      <c r="B36" s="2">
        <v>0</v>
      </c>
      <c r="C36">
        <f t="shared" ca="1" si="0"/>
        <v>0.96027454589841543</v>
      </c>
      <c r="D36" s="2">
        <v>0</v>
      </c>
    </row>
    <row r="37" spans="1:4" ht="15" thickBot="1" x14ac:dyDescent="0.35">
      <c r="A37" s="3">
        <v>1</v>
      </c>
      <c r="B37" s="2">
        <v>0</v>
      </c>
      <c r="C37">
        <f t="shared" ca="1" si="0"/>
        <v>0.86559893264876187</v>
      </c>
      <c r="D37" s="2">
        <v>0</v>
      </c>
    </row>
    <row r="38" spans="1:4" ht="15" thickBot="1" x14ac:dyDescent="0.35">
      <c r="A38" s="3">
        <v>1</v>
      </c>
      <c r="B38" s="2">
        <v>0</v>
      </c>
      <c r="C38">
        <f t="shared" ca="1" si="0"/>
        <v>0.92283655188893454</v>
      </c>
      <c r="D38" s="2">
        <v>0</v>
      </c>
    </row>
    <row r="39" spans="1:4" ht="15" thickBot="1" x14ac:dyDescent="0.35">
      <c r="A39" s="3">
        <v>1</v>
      </c>
      <c r="B39" s="2">
        <v>0</v>
      </c>
      <c r="C39">
        <f t="shared" ca="1" si="0"/>
        <v>0.97856667401109421</v>
      </c>
      <c r="D39" s="2">
        <v>0</v>
      </c>
    </row>
    <row r="40" spans="1:4" ht="15" thickBot="1" x14ac:dyDescent="0.35">
      <c r="A40" s="3">
        <v>1</v>
      </c>
      <c r="B40" s="2">
        <v>0</v>
      </c>
      <c r="C40">
        <f t="shared" ca="1" si="0"/>
        <v>1.0462158162327981</v>
      </c>
      <c r="D40" s="2">
        <v>0</v>
      </c>
    </row>
    <row r="41" spans="1:4" ht="15" thickBot="1" x14ac:dyDescent="0.35">
      <c r="A41" s="3">
        <v>1</v>
      </c>
      <c r="B41" s="2">
        <v>0</v>
      </c>
      <c r="C41">
        <f t="shared" ca="1" si="0"/>
        <v>1.1085715643938026</v>
      </c>
      <c r="D41" s="2">
        <v>0</v>
      </c>
    </row>
    <row r="42" spans="1:4" ht="15" thickBot="1" x14ac:dyDescent="0.35">
      <c r="A42" s="3">
        <v>1</v>
      </c>
      <c r="B42" s="2">
        <v>12</v>
      </c>
      <c r="C42">
        <f t="shared" ca="1" si="0"/>
        <v>0.90718390922179137</v>
      </c>
      <c r="D42" s="2">
        <v>12</v>
      </c>
    </row>
    <row r="43" spans="1:4" ht="15" thickBot="1" x14ac:dyDescent="0.35">
      <c r="A43" s="3">
        <v>1</v>
      </c>
      <c r="B43" s="2">
        <v>5</v>
      </c>
      <c r="C43">
        <f t="shared" ca="1" si="0"/>
        <v>0.90573014825006337</v>
      </c>
      <c r="D43" s="2">
        <v>5</v>
      </c>
    </row>
    <row r="44" spans="1:4" ht="15" thickBot="1" x14ac:dyDescent="0.35">
      <c r="A44" s="3">
        <v>1</v>
      </c>
      <c r="B44" s="2">
        <v>0</v>
      </c>
      <c r="C44">
        <f t="shared" ca="1" si="0"/>
        <v>0.86902926727135732</v>
      </c>
      <c r="D44" s="2">
        <v>0</v>
      </c>
    </row>
    <row r="45" spans="1:4" ht="15" thickBot="1" x14ac:dyDescent="0.35">
      <c r="A45" s="3">
        <v>1</v>
      </c>
      <c r="B45" s="2">
        <v>4</v>
      </c>
      <c r="C45">
        <f t="shared" ca="1" si="0"/>
        <v>0.88439830873224534</v>
      </c>
      <c r="D45" s="2">
        <v>4</v>
      </c>
    </row>
    <row r="46" spans="1:4" ht="15" thickBot="1" x14ac:dyDescent="0.35">
      <c r="A46" s="3">
        <v>1</v>
      </c>
      <c r="B46" s="2">
        <v>5</v>
      </c>
      <c r="C46">
        <f t="shared" ca="1" si="0"/>
        <v>0.8915121308892765</v>
      </c>
      <c r="D46" s="2">
        <v>5</v>
      </c>
    </row>
    <row r="47" spans="1:4" ht="15" thickBot="1" x14ac:dyDescent="0.35">
      <c r="A47" s="3">
        <v>1</v>
      </c>
      <c r="B47" s="2">
        <v>5</v>
      </c>
      <c r="C47">
        <f t="shared" ca="1" si="0"/>
        <v>0.86368810286415632</v>
      </c>
      <c r="D47" s="2">
        <v>5</v>
      </c>
    </row>
    <row r="48" spans="1:4" ht="15" thickBot="1" x14ac:dyDescent="0.35">
      <c r="A48" s="3">
        <v>1</v>
      </c>
      <c r="B48" s="2">
        <v>0</v>
      </c>
      <c r="C48">
        <f t="shared" ca="1" si="0"/>
        <v>0.89125048075870572</v>
      </c>
      <c r="D48" s="2">
        <v>0</v>
      </c>
    </row>
    <row r="49" spans="1:4" ht="15" thickBot="1" x14ac:dyDescent="0.35">
      <c r="A49" s="3">
        <v>1</v>
      </c>
      <c r="B49" s="2">
        <v>8</v>
      </c>
      <c r="C49">
        <f t="shared" ca="1" si="0"/>
        <v>0.8803288142399196</v>
      </c>
      <c r="D49" s="2">
        <v>8</v>
      </c>
    </row>
    <row r="50" spans="1:4" ht="15" thickBot="1" x14ac:dyDescent="0.35">
      <c r="A50" s="3">
        <v>1</v>
      </c>
      <c r="B50" s="2">
        <v>0</v>
      </c>
      <c r="C50">
        <f t="shared" ca="1" si="0"/>
        <v>1.0248517542912221</v>
      </c>
      <c r="D50" s="2">
        <v>0</v>
      </c>
    </row>
    <row r="51" spans="1:4" ht="15" thickBot="1" x14ac:dyDescent="0.35">
      <c r="A51" s="3">
        <v>1</v>
      </c>
      <c r="B51" s="2">
        <v>2</v>
      </c>
      <c r="C51">
        <f t="shared" ca="1" si="0"/>
        <v>1.0252522641027786</v>
      </c>
      <c r="D51" s="2">
        <v>2</v>
      </c>
    </row>
    <row r="52" spans="1:4" ht="15" thickBot="1" x14ac:dyDescent="0.35">
      <c r="A52" s="3">
        <v>1</v>
      </c>
      <c r="B52" s="2">
        <v>2</v>
      </c>
      <c r="C52">
        <f t="shared" ca="1" si="0"/>
        <v>0.93613418968060258</v>
      </c>
      <c r="D52" s="2">
        <v>2</v>
      </c>
    </row>
    <row r="53" spans="1:4" ht="15" thickBot="1" x14ac:dyDescent="0.35">
      <c r="A53" s="3">
        <v>1</v>
      </c>
      <c r="B53" s="2">
        <v>0</v>
      </c>
      <c r="C53">
        <f t="shared" ca="1" si="0"/>
        <v>0.93322968130661388</v>
      </c>
      <c r="D53" s="2">
        <v>0</v>
      </c>
    </row>
    <row r="54" spans="1:4" ht="15" thickBot="1" x14ac:dyDescent="0.35">
      <c r="A54" s="3">
        <v>1</v>
      </c>
      <c r="B54" s="2">
        <v>0</v>
      </c>
      <c r="C54">
        <f t="shared" ca="1" si="0"/>
        <v>0.93512691832626893</v>
      </c>
      <c r="D54" s="2">
        <v>0</v>
      </c>
    </row>
    <row r="55" spans="1:4" ht="15" thickBot="1" x14ac:dyDescent="0.35">
      <c r="A55" s="3">
        <v>1</v>
      </c>
      <c r="B55" s="2">
        <v>0</v>
      </c>
      <c r="C55">
        <f t="shared" ca="1" si="0"/>
        <v>0.9276674773090825</v>
      </c>
      <c r="D55" s="2">
        <v>0</v>
      </c>
    </row>
    <row r="56" spans="1:4" ht="15" thickBot="1" x14ac:dyDescent="0.35">
      <c r="A56" s="3">
        <v>1</v>
      </c>
      <c r="B56" s="2">
        <v>0</v>
      </c>
      <c r="C56">
        <f t="shared" ca="1" si="0"/>
        <v>0.96375923254360341</v>
      </c>
      <c r="D56" s="2">
        <v>0</v>
      </c>
    </row>
    <row r="57" spans="1:4" ht="15" thickBot="1" x14ac:dyDescent="0.35">
      <c r="A57" s="3">
        <v>1</v>
      </c>
      <c r="B57" s="2">
        <v>12</v>
      </c>
      <c r="C57">
        <f t="shared" ca="1" si="0"/>
        <v>1.1287368078143651</v>
      </c>
      <c r="D57" s="2">
        <v>12</v>
      </c>
    </row>
    <row r="58" spans="1:4" ht="15" thickBot="1" x14ac:dyDescent="0.35">
      <c r="A58" s="3">
        <v>1</v>
      </c>
      <c r="B58" s="2">
        <v>5</v>
      </c>
      <c r="C58">
        <f t="shared" ca="1" si="0"/>
        <v>1.070955541350243</v>
      </c>
      <c r="D58" s="2">
        <v>5</v>
      </c>
    </row>
    <row r="59" spans="1:4" ht="15" thickBot="1" x14ac:dyDescent="0.35">
      <c r="A59" s="3">
        <v>1</v>
      </c>
      <c r="B59" s="2">
        <v>0</v>
      </c>
      <c r="C59">
        <f t="shared" ca="1" si="0"/>
        <v>0.93064835960265446</v>
      </c>
      <c r="D59" s="2">
        <v>0</v>
      </c>
    </row>
    <row r="67" spans="1:4" ht="15" thickBot="1" x14ac:dyDescent="0.35">
      <c r="C67" t="s">
        <v>0</v>
      </c>
      <c r="D67" t="s">
        <v>1</v>
      </c>
    </row>
    <row r="68" spans="1:4" ht="15" thickBot="1" x14ac:dyDescent="0.35">
      <c r="A68" s="2">
        <v>0</v>
      </c>
      <c r="B68" s="2">
        <v>2</v>
      </c>
      <c r="C68">
        <f ca="1">B68 + ((RAND() - 0.5) * 0.3)</f>
        <v>2.0986495670394518</v>
      </c>
      <c r="D68" s="2">
        <v>0</v>
      </c>
    </row>
    <row r="69" spans="1:4" ht="15" thickBot="1" x14ac:dyDescent="0.35">
      <c r="A69" s="2">
        <v>4</v>
      </c>
      <c r="B69" s="2">
        <v>2</v>
      </c>
      <c r="C69">
        <f t="shared" ref="C69:C125" ca="1" si="1">B69 + ((RAND() - 0.5) * 0.3)</f>
        <v>1.9680091816319623</v>
      </c>
      <c r="D69" s="2">
        <v>0</v>
      </c>
    </row>
    <row r="70" spans="1:4" ht="15" thickBot="1" x14ac:dyDescent="0.35">
      <c r="A70" s="2">
        <v>4</v>
      </c>
      <c r="B70" s="2">
        <v>2</v>
      </c>
      <c r="C70">
        <f t="shared" ca="1" si="1"/>
        <v>2.0804273403970517</v>
      </c>
      <c r="D70" s="2">
        <v>0</v>
      </c>
    </row>
    <row r="71" spans="1:4" ht="15" thickBot="1" x14ac:dyDescent="0.35">
      <c r="A71" s="2">
        <v>3</v>
      </c>
      <c r="B71" s="2">
        <v>2</v>
      </c>
      <c r="C71">
        <f t="shared" ca="1" si="1"/>
        <v>1.980824288493729</v>
      </c>
      <c r="D71" s="2">
        <v>0</v>
      </c>
    </row>
    <row r="72" spans="1:4" ht="15" thickBot="1" x14ac:dyDescent="0.35">
      <c r="A72" s="2">
        <v>5</v>
      </c>
      <c r="B72" s="2">
        <v>2</v>
      </c>
      <c r="C72">
        <f t="shared" ca="1" si="1"/>
        <v>2.0935422918325322</v>
      </c>
      <c r="D72" s="2">
        <v>0</v>
      </c>
    </row>
    <row r="73" spans="1:4" ht="15" thickBot="1" x14ac:dyDescent="0.35">
      <c r="A73" s="2">
        <v>0</v>
      </c>
      <c r="B73" s="2">
        <v>2</v>
      </c>
      <c r="C73">
        <f t="shared" ca="1" si="1"/>
        <v>2.0758010730024696</v>
      </c>
      <c r="D73" s="2">
        <v>0</v>
      </c>
    </row>
    <row r="74" spans="1:4" ht="15" thickBot="1" x14ac:dyDescent="0.35">
      <c r="A74" s="2">
        <v>0</v>
      </c>
      <c r="B74" s="2">
        <v>2</v>
      </c>
      <c r="C74">
        <f t="shared" ca="1" si="1"/>
        <v>1.8951304372114008</v>
      </c>
      <c r="D74" s="2">
        <v>0</v>
      </c>
    </row>
    <row r="75" spans="1:4" ht="15" thickBot="1" x14ac:dyDescent="0.35">
      <c r="A75" s="2">
        <v>0</v>
      </c>
      <c r="B75" s="2">
        <v>2</v>
      </c>
      <c r="C75">
        <f t="shared" ca="1" si="1"/>
        <v>1.9389830512076491</v>
      </c>
      <c r="D75" s="2">
        <v>0</v>
      </c>
    </row>
    <row r="76" spans="1:4" ht="15" thickBot="1" x14ac:dyDescent="0.35">
      <c r="A76" s="2">
        <v>0</v>
      </c>
      <c r="B76" s="2">
        <v>2</v>
      </c>
      <c r="C76">
        <f t="shared" ca="1" si="1"/>
        <v>1.994615226526004</v>
      </c>
      <c r="D76" s="2">
        <v>0</v>
      </c>
    </row>
    <row r="77" spans="1:4" ht="15" thickBot="1" x14ac:dyDescent="0.35">
      <c r="A77" s="2">
        <v>0</v>
      </c>
      <c r="B77" s="2">
        <v>2</v>
      </c>
      <c r="C77">
        <f t="shared" ca="1" si="1"/>
        <v>2.037247463657184</v>
      </c>
      <c r="D77" s="2">
        <v>0</v>
      </c>
    </row>
    <row r="78" spans="1:4" ht="15" thickBot="1" x14ac:dyDescent="0.35">
      <c r="A78" s="2">
        <v>0</v>
      </c>
      <c r="B78" s="2">
        <v>2</v>
      </c>
      <c r="C78">
        <f t="shared" ca="1" si="1"/>
        <v>2.0649025768650162</v>
      </c>
      <c r="D78" s="2">
        <v>0</v>
      </c>
    </row>
    <row r="79" spans="1:4" ht="15" thickBot="1" x14ac:dyDescent="0.35">
      <c r="A79" s="2">
        <v>5</v>
      </c>
      <c r="B79" s="2">
        <v>2</v>
      </c>
      <c r="C79">
        <f t="shared" ca="1" si="1"/>
        <v>2.1159683000421152</v>
      </c>
      <c r="D79" s="2">
        <v>0</v>
      </c>
    </row>
    <row r="80" spans="1:4" ht="15" thickBot="1" x14ac:dyDescent="0.35">
      <c r="A80" s="2">
        <v>4</v>
      </c>
      <c r="B80" s="2">
        <v>2</v>
      </c>
      <c r="C80">
        <f t="shared" ca="1" si="1"/>
        <v>2.0722275691099741</v>
      </c>
      <c r="D80" s="2">
        <v>0</v>
      </c>
    </row>
    <row r="81" spans="1:4" ht="15" thickBot="1" x14ac:dyDescent="0.35">
      <c r="A81" s="2">
        <v>0</v>
      </c>
      <c r="B81" s="2">
        <v>2</v>
      </c>
      <c r="C81">
        <f t="shared" ca="1" si="1"/>
        <v>1.8974332017344178</v>
      </c>
      <c r="D81" s="2">
        <v>0</v>
      </c>
    </row>
    <row r="82" spans="1:4" ht="15" thickBot="1" x14ac:dyDescent="0.35">
      <c r="A82" s="2">
        <v>4</v>
      </c>
      <c r="B82" s="2">
        <v>2</v>
      </c>
      <c r="C82">
        <f t="shared" ca="1" si="1"/>
        <v>1.8771367492612465</v>
      </c>
      <c r="D82" s="2">
        <v>0</v>
      </c>
    </row>
    <row r="83" spans="1:4" ht="15" thickBot="1" x14ac:dyDescent="0.35">
      <c r="A83" s="2">
        <v>20</v>
      </c>
      <c r="B83" s="2">
        <v>2</v>
      </c>
      <c r="C83">
        <f t="shared" ca="1" si="1"/>
        <v>1.867920129257477</v>
      </c>
      <c r="D83" s="2">
        <v>0</v>
      </c>
    </row>
    <row r="84" spans="1:4" ht="15" thickBot="1" x14ac:dyDescent="0.35">
      <c r="A84" s="2">
        <v>5</v>
      </c>
      <c r="B84" s="2">
        <v>2</v>
      </c>
      <c r="C84">
        <f t="shared" ca="1" si="1"/>
        <v>1.9491045546889805</v>
      </c>
      <c r="D84" s="2">
        <v>0</v>
      </c>
    </row>
    <row r="85" spans="1:4" ht="15" thickBot="1" x14ac:dyDescent="0.35">
      <c r="A85" s="2">
        <v>0</v>
      </c>
      <c r="B85" s="2">
        <v>2</v>
      </c>
      <c r="C85">
        <f t="shared" ca="1" si="1"/>
        <v>1.9882988104777171</v>
      </c>
      <c r="D85" s="2">
        <v>0</v>
      </c>
    </row>
    <row r="86" spans="1:4" ht="15" thickBot="1" x14ac:dyDescent="0.35">
      <c r="A86" s="2">
        <v>7</v>
      </c>
      <c r="B86" s="2">
        <v>2</v>
      </c>
      <c r="C86">
        <f t="shared" ca="1" si="1"/>
        <v>2.1261634810004768</v>
      </c>
      <c r="D86" s="2">
        <v>0</v>
      </c>
    </row>
    <row r="87" spans="1:4" ht="15" thickBot="1" x14ac:dyDescent="0.35">
      <c r="A87" s="2">
        <v>0</v>
      </c>
      <c r="B87" s="2">
        <v>2</v>
      </c>
      <c r="C87">
        <f t="shared" ca="1" si="1"/>
        <v>2.0665417584884818</v>
      </c>
      <c r="D87" s="2">
        <v>0</v>
      </c>
    </row>
    <row r="88" spans="1:4" ht="15" thickBot="1" x14ac:dyDescent="0.35">
      <c r="A88" s="2">
        <v>5</v>
      </c>
      <c r="B88" s="2">
        <v>2</v>
      </c>
      <c r="C88">
        <f t="shared" ca="1" si="1"/>
        <v>2.0990279488313379</v>
      </c>
      <c r="D88" s="2">
        <v>0</v>
      </c>
    </row>
    <row r="89" spans="1:4" ht="15" thickBot="1" x14ac:dyDescent="0.35">
      <c r="A89" s="2">
        <v>2</v>
      </c>
      <c r="B89" s="2">
        <v>2</v>
      </c>
      <c r="C89">
        <f t="shared" ca="1" si="1"/>
        <v>1.8790278769362176</v>
      </c>
      <c r="D89" s="2">
        <v>0</v>
      </c>
    </row>
    <row r="90" spans="1:4" ht="15" thickBot="1" x14ac:dyDescent="0.35">
      <c r="A90" s="2">
        <v>0</v>
      </c>
      <c r="B90" s="2">
        <v>2</v>
      </c>
      <c r="C90">
        <f t="shared" ca="1" si="1"/>
        <v>2.0277213472234834</v>
      </c>
      <c r="D90" s="2">
        <v>0</v>
      </c>
    </row>
    <row r="91" spans="1:4" ht="15" thickBot="1" x14ac:dyDescent="0.35">
      <c r="A91" s="2">
        <v>0</v>
      </c>
      <c r="B91" s="2">
        <v>2</v>
      </c>
      <c r="C91">
        <f t="shared" ca="1" si="1"/>
        <v>1.8941902145894565</v>
      </c>
      <c r="D91" s="2">
        <v>0</v>
      </c>
    </row>
    <row r="92" spans="1:4" ht="15" thickBot="1" x14ac:dyDescent="0.35">
      <c r="A92" s="2">
        <v>0</v>
      </c>
      <c r="B92" s="2">
        <v>2</v>
      </c>
      <c r="C92">
        <f t="shared" ca="1" si="1"/>
        <v>1.8973703929547217</v>
      </c>
      <c r="D92" s="2">
        <v>0</v>
      </c>
    </row>
    <row r="93" spans="1:4" ht="15" thickBot="1" x14ac:dyDescent="0.35">
      <c r="A93" s="2">
        <v>0</v>
      </c>
      <c r="B93" s="2">
        <v>2</v>
      </c>
      <c r="C93">
        <f t="shared" ca="1" si="1"/>
        <v>1.919545503079334</v>
      </c>
      <c r="D93" s="2">
        <v>0</v>
      </c>
    </row>
    <row r="94" spans="1:4" ht="15" thickBot="1" x14ac:dyDescent="0.35">
      <c r="A94" s="2">
        <v>5</v>
      </c>
      <c r="B94" s="2">
        <v>2</v>
      </c>
      <c r="C94">
        <f t="shared" ca="1" si="1"/>
        <v>2.0379958728864795</v>
      </c>
      <c r="D94" s="2">
        <v>0</v>
      </c>
    </row>
    <row r="95" spans="1:4" ht="15" thickBot="1" x14ac:dyDescent="0.35">
      <c r="A95" s="2">
        <v>4</v>
      </c>
      <c r="B95" s="2">
        <v>2</v>
      </c>
      <c r="C95">
        <f t="shared" ca="1" si="1"/>
        <v>2.0577213498667475</v>
      </c>
      <c r="D95" s="2">
        <v>0</v>
      </c>
    </row>
    <row r="96" spans="1:4" ht="15" thickBot="1" x14ac:dyDescent="0.35">
      <c r="A96" s="2">
        <v>0</v>
      </c>
      <c r="B96" s="2">
        <v>2</v>
      </c>
      <c r="C96">
        <f t="shared" ca="1" si="1"/>
        <v>2.1068641181011589</v>
      </c>
      <c r="D96" s="2">
        <v>0</v>
      </c>
    </row>
    <row r="97" spans="2:4" ht="15" thickBot="1" x14ac:dyDescent="0.35">
      <c r="B97" s="4">
        <v>1</v>
      </c>
      <c r="C97">
        <f t="shared" ca="1" si="1"/>
        <v>1.1354309128457936</v>
      </c>
      <c r="D97" s="2">
        <v>0</v>
      </c>
    </row>
    <row r="98" spans="2:4" ht="15" thickBot="1" x14ac:dyDescent="0.35">
      <c r="B98" s="4">
        <v>1</v>
      </c>
      <c r="C98">
        <f t="shared" ca="1" si="1"/>
        <v>0.96583492575886865</v>
      </c>
      <c r="D98" s="2">
        <v>4</v>
      </c>
    </row>
    <row r="99" spans="2:4" ht="15" thickBot="1" x14ac:dyDescent="0.35">
      <c r="B99" s="4">
        <v>1</v>
      </c>
      <c r="C99">
        <f t="shared" ca="1" si="1"/>
        <v>0.86476323312969583</v>
      </c>
      <c r="D99" s="2">
        <v>4</v>
      </c>
    </row>
    <row r="100" spans="2:4" ht="15" thickBot="1" x14ac:dyDescent="0.35">
      <c r="B100" s="4">
        <v>1</v>
      </c>
      <c r="C100">
        <f t="shared" ca="1" si="1"/>
        <v>0.87066144195958839</v>
      </c>
      <c r="D100" s="2">
        <v>3</v>
      </c>
    </row>
    <row r="101" spans="2:4" ht="15" thickBot="1" x14ac:dyDescent="0.35">
      <c r="B101" s="4">
        <v>1</v>
      </c>
      <c r="C101">
        <f t="shared" ca="1" si="1"/>
        <v>1.1073092861908398</v>
      </c>
      <c r="D101" s="2">
        <v>5</v>
      </c>
    </row>
    <row r="102" spans="2:4" ht="15" thickBot="1" x14ac:dyDescent="0.35">
      <c r="B102" s="4">
        <v>1</v>
      </c>
      <c r="C102">
        <f t="shared" ca="1" si="1"/>
        <v>0.87469659161351476</v>
      </c>
      <c r="D102" s="2">
        <v>0</v>
      </c>
    </row>
    <row r="103" spans="2:4" ht="15" thickBot="1" x14ac:dyDescent="0.35">
      <c r="B103" s="4">
        <v>1</v>
      </c>
      <c r="C103">
        <f t="shared" ca="1" si="1"/>
        <v>1.1441072071900475</v>
      </c>
      <c r="D103" s="2">
        <v>0</v>
      </c>
    </row>
    <row r="104" spans="2:4" ht="15" thickBot="1" x14ac:dyDescent="0.35">
      <c r="B104" s="4">
        <v>1</v>
      </c>
      <c r="C104">
        <f t="shared" ca="1" si="1"/>
        <v>1.0773808963548004</v>
      </c>
      <c r="D104" s="2">
        <v>0</v>
      </c>
    </row>
    <row r="105" spans="2:4" ht="15" thickBot="1" x14ac:dyDescent="0.35">
      <c r="B105" s="4">
        <v>1</v>
      </c>
      <c r="C105">
        <f t="shared" ca="1" si="1"/>
        <v>1.1249918028961376</v>
      </c>
      <c r="D105" s="2">
        <v>0</v>
      </c>
    </row>
    <row r="106" spans="2:4" ht="15" thickBot="1" x14ac:dyDescent="0.35">
      <c r="B106" s="4">
        <v>1</v>
      </c>
      <c r="C106">
        <f t="shared" ca="1" si="1"/>
        <v>1.0934886240341157</v>
      </c>
      <c r="D106" s="2">
        <v>0</v>
      </c>
    </row>
    <row r="107" spans="2:4" ht="15" thickBot="1" x14ac:dyDescent="0.35">
      <c r="B107" s="4">
        <v>1</v>
      </c>
      <c r="C107">
        <f t="shared" ca="1" si="1"/>
        <v>1.0371479878850118</v>
      </c>
      <c r="D107" s="2">
        <v>0</v>
      </c>
    </row>
    <row r="108" spans="2:4" ht="15" thickBot="1" x14ac:dyDescent="0.35">
      <c r="B108" s="4">
        <v>1</v>
      </c>
      <c r="C108">
        <f t="shared" ca="1" si="1"/>
        <v>1.0778731875044771</v>
      </c>
      <c r="D108" s="2">
        <v>5</v>
      </c>
    </row>
    <row r="109" spans="2:4" ht="15" thickBot="1" x14ac:dyDescent="0.35">
      <c r="B109" s="4">
        <v>1</v>
      </c>
      <c r="C109">
        <f t="shared" ca="1" si="1"/>
        <v>0.91774595398847991</v>
      </c>
      <c r="D109" s="2">
        <v>4</v>
      </c>
    </row>
    <row r="110" spans="2:4" ht="15" thickBot="1" x14ac:dyDescent="0.35">
      <c r="B110" s="4">
        <v>1</v>
      </c>
      <c r="C110">
        <f t="shared" ca="1" si="1"/>
        <v>1.0702910807122616</v>
      </c>
      <c r="D110" s="2">
        <v>0</v>
      </c>
    </row>
    <row r="111" spans="2:4" ht="15" thickBot="1" x14ac:dyDescent="0.35">
      <c r="B111" s="4">
        <v>1</v>
      </c>
      <c r="C111">
        <f t="shared" ca="1" si="1"/>
        <v>0.95394139680881862</v>
      </c>
      <c r="D111" s="2">
        <v>4</v>
      </c>
    </row>
    <row r="112" spans="2:4" ht="15" thickBot="1" x14ac:dyDescent="0.35">
      <c r="B112" s="4">
        <v>1</v>
      </c>
      <c r="C112">
        <f t="shared" ca="1" si="1"/>
        <v>0.95798529325277559</v>
      </c>
      <c r="D112" s="2">
        <v>20</v>
      </c>
    </row>
    <row r="113" spans="2:4" ht="15" thickBot="1" x14ac:dyDescent="0.35">
      <c r="B113" s="4">
        <v>1</v>
      </c>
      <c r="C113">
        <f t="shared" ca="1" si="1"/>
        <v>0.90557660736233436</v>
      </c>
      <c r="D113" s="2">
        <v>5</v>
      </c>
    </row>
    <row r="114" spans="2:4" ht="15" thickBot="1" x14ac:dyDescent="0.35">
      <c r="B114" s="4">
        <v>1</v>
      </c>
      <c r="C114">
        <f t="shared" ca="1" si="1"/>
        <v>0.89137766359155235</v>
      </c>
      <c r="D114" s="2">
        <v>0</v>
      </c>
    </row>
    <row r="115" spans="2:4" ht="15" thickBot="1" x14ac:dyDescent="0.35">
      <c r="B115" s="4">
        <v>1</v>
      </c>
      <c r="C115">
        <f t="shared" ca="1" si="1"/>
        <v>1.1484062172332568</v>
      </c>
      <c r="D115" s="2">
        <v>7</v>
      </c>
    </row>
    <row r="116" spans="2:4" ht="15" thickBot="1" x14ac:dyDescent="0.35">
      <c r="B116" s="4">
        <v>1</v>
      </c>
      <c r="C116">
        <f t="shared" ca="1" si="1"/>
        <v>0.85286133127451169</v>
      </c>
      <c r="D116" s="2">
        <v>0</v>
      </c>
    </row>
    <row r="117" spans="2:4" ht="15" thickBot="1" x14ac:dyDescent="0.35">
      <c r="B117" s="4">
        <v>1</v>
      </c>
      <c r="C117">
        <f t="shared" ca="1" si="1"/>
        <v>1.0711506350380535</v>
      </c>
      <c r="D117" s="2">
        <v>5</v>
      </c>
    </row>
    <row r="118" spans="2:4" ht="15" thickBot="1" x14ac:dyDescent="0.35">
      <c r="B118" s="4">
        <v>1</v>
      </c>
      <c r="C118">
        <f t="shared" ca="1" si="1"/>
        <v>0.93459602794564234</v>
      </c>
      <c r="D118" s="2">
        <v>2</v>
      </c>
    </row>
    <row r="119" spans="2:4" ht="15" thickBot="1" x14ac:dyDescent="0.35">
      <c r="B119" s="4">
        <v>1</v>
      </c>
      <c r="C119">
        <f t="shared" ca="1" si="1"/>
        <v>0.90364753441810786</v>
      </c>
      <c r="D119" s="2">
        <v>0</v>
      </c>
    </row>
    <row r="120" spans="2:4" ht="15" thickBot="1" x14ac:dyDescent="0.35">
      <c r="B120" s="4">
        <v>1</v>
      </c>
      <c r="C120">
        <f t="shared" ca="1" si="1"/>
        <v>0.88278843039668697</v>
      </c>
      <c r="D120" s="2">
        <v>0</v>
      </c>
    </row>
    <row r="121" spans="2:4" ht="15" thickBot="1" x14ac:dyDescent="0.35">
      <c r="B121" s="4">
        <v>1</v>
      </c>
      <c r="C121">
        <f t="shared" ca="1" si="1"/>
        <v>1.0199738214767093</v>
      </c>
      <c r="D121" s="2">
        <v>0</v>
      </c>
    </row>
    <row r="122" spans="2:4" ht="15" thickBot="1" x14ac:dyDescent="0.35">
      <c r="B122" s="4">
        <v>1</v>
      </c>
      <c r="C122">
        <f t="shared" ca="1" si="1"/>
        <v>0.96283374344892958</v>
      </c>
      <c r="D122" s="2">
        <v>0</v>
      </c>
    </row>
    <row r="123" spans="2:4" ht="15" thickBot="1" x14ac:dyDescent="0.35">
      <c r="B123" s="4">
        <v>1</v>
      </c>
      <c r="C123">
        <f t="shared" ca="1" si="1"/>
        <v>1.0496168604934355</v>
      </c>
      <c r="D123" s="2">
        <v>5</v>
      </c>
    </row>
    <row r="124" spans="2:4" ht="15" thickBot="1" x14ac:dyDescent="0.35">
      <c r="B124" s="4">
        <v>1</v>
      </c>
      <c r="C124">
        <f t="shared" ca="1" si="1"/>
        <v>0.95332447223467709</v>
      </c>
      <c r="D124" s="2">
        <v>4</v>
      </c>
    </row>
    <row r="125" spans="2:4" ht="15" thickBot="1" x14ac:dyDescent="0.35">
      <c r="B125" s="4">
        <v>1</v>
      </c>
      <c r="C125">
        <f t="shared" ca="1" si="1"/>
        <v>0.97369655482535789</v>
      </c>
      <c r="D125" s="2">
        <v>0</v>
      </c>
    </row>
    <row r="130" spans="2:4" ht="15" thickBot="1" x14ac:dyDescent="0.35">
      <c r="C130" t="s">
        <v>0</v>
      </c>
      <c r="D130" t="s">
        <v>1</v>
      </c>
    </row>
    <row r="131" spans="2:4" ht="15" thickBot="1" x14ac:dyDescent="0.35">
      <c r="B131">
        <v>2</v>
      </c>
      <c r="C131">
        <f ca="1" xml:space="preserve"> B131 + ((RAND() - 0.5) * 0.3)</f>
        <v>1.901715710770032</v>
      </c>
      <c r="D131" s="2">
        <v>0</v>
      </c>
    </row>
    <row r="132" spans="2:4" ht="15" thickBot="1" x14ac:dyDescent="0.35">
      <c r="B132">
        <v>2</v>
      </c>
      <c r="C132">
        <f t="shared" ref="C132:C188" ca="1" si="2" xml:space="preserve"> B132 + ((RAND() - 0.5) * 0.3)</f>
        <v>2.1164694867610407</v>
      </c>
      <c r="D132" s="2">
        <v>0</v>
      </c>
    </row>
    <row r="133" spans="2:4" ht="15" thickBot="1" x14ac:dyDescent="0.35">
      <c r="B133">
        <v>2</v>
      </c>
      <c r="C133">
        <f t="shared" ca="1" si="2"/>
        <v>2.0387099233334851</v>
      </c>
      <c r="D133" s="2">
        <v>0</v>
      </c>
    </row>
    <row r="134" spans="2:4" ht="15" thickBot="1" x14ac:dyDescent="0.35">
      <c r="B134">
        <v>2</v>
      </c>
      <c r="C134">
        <f t="shared" ca="1" si="2"/>
        <v>1.9880115523461728</v>
      </c>
      <c r="D134" s="2">
        <v>0</v>
      </c>
    </row>
    <row r="135" spans="2:4" ht="15" thickBot="1" x14ac:dyDescent="0.35">
      <c r="B135">
        <v>2</v>
      </c>
      <c r="C135">
        <f t="shared" ca="1" si="2"/>
        <v>2.1250325763030862</v>
      </c>
      <c r="D135" s="2">
        <v>0</v>
      </c>
    </row>
    <row r="136" spans="2:4" ht="15" thickBot="1" x14ac:dyDescent="0.35">
      <c r="B136">
        <v>2</v>
      </c>
      <c r="C136">
        <f t="shared" ca="1" si="2"/>
        <v>2.1410053809265106</v>
      </c>
      <c r="D136" s="2">
        <v>0</v>
      </c>
    </row>
    <row r="137" spans="2:4" ht="15" thickBot="1" x14ac:dyDescent="0.35">
      <c r="B137">
        <v>2</v>
      </c>
      <c r="C137">
        <f t="shared" ca="1" si="2"/>
        <v>1.8736619312532186</v>
      </c>
      <c r="D137" s="2">
        <v>0</v>
      </c>
    </row>
    <row r="138" spans="2:4" ht="15" thickBot="1" x14ac:dyDescent="0.35">
      <c r="B138">
        <v>2</v>
      </c>
      <c r="C138">
        <f t="shared" ca="1" si="2"/>
        <v>2.0133216318823171</v>
      </c>
      <c r="D138" s="2">
        <v>0</v>
      </c>
    </row>
    <row r="139" spans="2:4" ht="15" thickBot="1" x14ac:dyDescent="0.35">
      <c r="B139">
        <v>2</v>
      </c>
      <c r="C139">
        <f t="shared" ca="1" si="2"/>
        <v>2.0112582603405325</v>
      </c>
      <c r="D139" s="2">
        <v>0</v>
      </c>
    </row>
    <row r="140" spans="2:4" ht="15" thickBot="1" x14ac:dyDescent="0.35">
      <c r="B140">
        <v>2</v>
      </c>
      <c r="C140">
        <f t="shared" ca="1" si="2"/>
        <v>2.1493032420123495</v>
      </c>
      <c r="D140" s="2">
        <v>0</v>
      </c>
    </row>
    <row r="141" spans="2:4" ht="15" thickBot="1" x14ac:dyDescent="0.35">
      <c r="B141">
        <v>2</v>
      </c>
      <c r="C141">
        <f t="shared" ca="1" si="2"/>
        <v>2.0258060175051842</v>
      </c>
      <c r="D141" s="2">
        <v>0</v>
      </c>
    </row>
    <row r="142" spans="2:4" ht="15" thickBot="1" x14ac:dyDescent="0.35">
      <c r="B142">
        <v>2</v>
      </c>
      <c r="C142">
        <f t="shared" ca="1" si="2"/>
        <v>2.1168368980622949</v>
      </c>
      <c r="D142" s="2">
        <v>0</v>
      </c>
    </row>
    <row r="143" spans="2:4" ht="15" thickBot="1" x14ac:dyDescent="0.35">
      <c r="B143">
        <v>2</v>
      </c>
      <c r="C143">
        <f t="shared" ca="1" si="2"/>
        <v>1.9854521984115123</v>
      </c>
      <c r="D143" s="2">
        <v>0</v>
      </c>
    </row>
    <row r="144" spans="2:4" ht="15" thickBot="1" x14ac:dyDescent="0.35">
      <c r="B144">
        <v>2</v>
      </c>
      <c r="C144">
        <f t="shared" ca="1" si="2"/>
        <v>1.9178410555148229</v>
      </c>
      <c r="D144" s="2">
        <v>0</v>
      </c>
    </row>
    <row r="145" spans="2:4" ht="15" thickBot="1" x14ac:dyDescent="0.35">
      <c r="B145">
        <v>2</v>
      </c>
      <c r="C145">
        <f t="shared" ca="1" si="2"/>
        <v>2.1450791671526281</v>
      </c>
      <c r="D145" s="2">
        <v>0</v>
      </c>
    </row>
    <row r="146" spans="2:4" ht="15" thickBot="1" x14ac:dyDescent="0.35">
      <c r="B146">
        <v>2</v>
      </c>
      <c r="C146">
        <f t="shared" ca="1" si="2"/>
        <v>1.9854973427807707</v>
      </c>
      <c r="D146" s="2">
        <v>0</v>
      </c>
    </row>
    <row r="147" spans="2:4" ht="15" thickBot="1" x14ac:dyDescent="0.35">
      <c r="B147">
        <v>2</v>
      </c>
      <c r="C147">
        <f t="shared" ca="1" si="2"/>
        <v>1.9043417073809843</v>
      </c>
      <c r="D147" s="2">
        <v>0</v>
      </c>
    </row>
    <row r="148" spans="2:4" ht="15" thickBot="1" x14ac:dyDescent="0.35">
      <c r="B148">
        <v>2</v>
      </c>
      <c r="C148">
        <f t="shared" ca="1" si="2"/>
        <v>1.9561476069198678</v>
      </c>
      <c r="D148" s="2">
        <v>0</v>
      </c>
    </row>
    <row r="149" spans="2:4" ht="15" thickBot="1" x14ac:dyDescent="0.35">
      <c r="B149">
        <v>2</v>
      </c>
      <c r="C149">
        <f t="shared" ca="1" si="2"/>
        <v>1.9776968385709313</v>
      </c>
      <c r="D149" s="2">
        <v>0</v>
      </c>
    </row>
    <row r="150" spans="2:4" ht="15" thickBot="1" x14ac:dyDescent="0.35">
      <c r="B150">
        <v>2</v>
      </c>
      <c r="C150">
        <f t="shared" ca="1" si="2"/>
        <v>1.9790968451857656</v>
      </c>
      <c r="D150" s="2">
        <v>0</v>
      </c>
    </row>
    <row r="151" spans="2:4" ht="15" thickBot="1" x14ac:dyDescent="0.35">
      <c r="B151">
        <v>2</v>
      </c>
      <c r="C151">
        <f t="shared" ca="1" si="2"/>
        <v>2.0886981978066177</v>
      </c>
      <c r="D151" s="2">
        <v>0</v>
      </c>
    </row>
    <row r="152" spans="2:4" ht="15" thickBot="1" x14ac:dyDescent="0.35">
      <c r="B152">
        <v>2</v>
      </c>
      <c r="C152">
        <f t="shared" ca="1" si="2"/>
        <v>1.9771302030368556</v>
      </c>
      <c r="D152" s="2">
        <v>0</v>
      </c>
    </row>
    <row r="153" spans="2:4" ht="15" thickBot="1" x14ac:dyDescent="0.35">
      <c r="B153">
        <v>2</v>
      </c>
      <c r="C153">
        <f t="shared" ca="1" si="2"/>
        <v>1.9295841742675424</v>
      </c>
      <c r="D153" s="2">
        <v>0</v>
      </c>
    </row>
    <row r="154" spans="2:4" ht="15" thickBot="1" x14ac:dyDescent="0.35">
      <c r="B154">
        <v>2</v>
      </c>
      <c r="C154">
        <f t="shared" ca="1" si="2"/>
        <v>1.885549850210442</v>
      </c>
      <c r="D154" s="2">
        <v>0</v>
      </c>
    </row>
    <row r="155" spans="2:4" ht="15" thickBot="1" x14ac:dyDescent="0.35">
      <c r="B155">
        <v>2</v>
      </c>
      <c r="C155">
        <f t="shared" ca="1" si="2"/>
        <v>1.8734527527391975</v>
      </c>
      <c r="D155" s="2">
        <v>0</v>
      </c>
    </row>
    <row r="156" spans="2:4" ht="15" thickBot="1" x14ac:dyDescent="0.35">
      <c r="B156">
        <v>2</v>
      </c>
      <c r="C156">
        <f t="shared" ca="1" si="2"/>
        <v>1.854503547384619</v>
      </c>
      <c r="D156" s="2">
        <v>0</v>
      </c>
    </row>
    <row r="157" spans="2:4" ht="15" thickBot="1" x14ac:dyDescent="0.35">
      <c r="B157">
        <v>2</v>
      </c>
      <c r="C157">
        <f t="shared" ca="1" si="2"/>
        <v>2.0295823235539978</v>
      </c>
      <c r="D157" s="2">
        <v>0</v>
      </c>
    </row>
    <row r="158" spans="2:4" ht="15" thickBot="1" x14ac:dyDescent="0.35">
      <c r="B158">
        <v>2</v>
      </c>
      <c r="C158">
        <f t="shared" ca="1" si="2"/>
        <v>2.1206958915450485</v>
      </c>
      <c r="D158" s="2">
        <v>0</v>
      </c>
    </row>
    <row r="159" spans="2:4" ht="15" thickBot="1" x14ac:dyDescent="0.35">
      <c r="B159">
        <v>2</v>
      </c>
      <c r="C159">
        <f t="shared" ca="1" si="2"/>
        <v>2.0248730691724548</v>
      </c>
      <c r="D159" s="2">
        <v>0</v>
      </c>
    </row>
    <row r="160" spans="2:4" ht="15" thickBot="1" x14ac:dyDescent="0.35">
      <c r="B160">
        <v>1</v>
      </c>
      <c r="C160">
        <f t="shared" ca="1" si="2"/>
        <v>0.99862963716750996</v>
      </c>
      <c r="D160" s="2">
        <v>0</v>
      </c>
    </row>
    <row r="161" spans="2:4" ht="15" thickBot="1" x14ac:dyDescent="0.35">
      <c r="B161">
        <v>1</v>
      </c>
      <c r="C161">
        <f t="shared" ca="1" si="2"/>
        <v>0.93832726860761329</v>
      </c>
      <c r="D161" s="2">
        <v>4</v>
      </c>
    </row>
    <row r="162" spans="2:4" ht="15" thickBot="1" x14ac:dyDescent="0.35">
      <c r="B162">
        <v>1</v>
      </c>
      <c r="C162">
        <f t="shared" ca="1" si="2"/>
        <v>1.0358921764006577</v>
      </c>
      <c r="D162" s="2">
        <v>5</v>
      </c>
    </row>
    <row r="163" spans="2:4" ht="15" thickBot="1" x14ac:dyDescent="0.35">
      <c r="B163">
        <v>1</v>
      </c>
      <c r="C163">
        <f t="shared" ca="1" si="2"/>
        <v>1.1148212325656206</v>
      </c>
      <c r="D163" s="2">
        <v>4</v>
      </c>
    </row>
    <row r="164" spans="2:4" ht="15" thickBot="1" x14ac:dyDescent="0.35">
      <c r="B164">
        <v>1</v>
      </c>
      <c r="C164">
        <f t="shared" ca="1" si="2"/>
        <v>0.86616904073845702</v>
      </c>
      <c r="D164" s="2">
        <v>5</v>
      </c>
    </row>
    <row r="165" spans="2:4" ht="15" thickBot="1" x14ac:dyDescent="0.35">
      <c r="B165">
        <v>1</v>
      </c>
      <c r="C165">
        <f t="shared" ca="1" si="2"/>
        <v>1.0438391767422674</v>
      </c>
      <c r="D165" s="2">
        <v>30</v>
      </c>
    </row>
    <row r="166" spans="2:4" ht="15" thickBot="1" x14ac:dyDescent="0.35">
      <c r="B166">
        <v>1</v>
      </c>
      <c r="C166">
        <f t="shared" ca="1" si="2"/>
        <v>1.1098868803955995</v>
      </c>
      <c r="D166" s="2">
        <v>0</v>
      </c>
    </row>
    <row r="167" spans="2:4" ht="15" thickBot="1" x14ac:dyDescent="0.35">
      <c r="B167">
        <v>1</v>
      </c>
      <c r="C167">
        <f t="shared" ca="1" si="2"/>
        <v>1.0119186603744521</v>
      </c>
      <c r="D167" s="2">
        <v>0</v>
      </c>
    </row>
    <row r="168" spans="2:4" ht="15" thickBot="1" x14ac:dyDescent="0.35">
      <c r="B168">
        <v>1</v>
      </c>
      <c r="C168">
        <f t="shared" ca="1" si="2"/>
        <v>1.1452829662181314</v>
      </c>
      <c r="D168" s="2">
        <v>30</v>
      </c>
    </row>
    <row r="169" spans="2:4" ht="15" thickBot="1" x14ac:dyDescent="0.35">
      <c r="B169">
        <v>1</v>
      </c>
      <c r="C169">
        <f t="shared" ca="1" si="2"/>
        <v>0.92293395832360348</v>
      </c>
      <c r="D169" s="2">
        <v>30</v>
      </c>
    </row>
    <row r="170" spans="2:4" ht="15" thickBot="1" x14ac:dyDescent="0.35">
      <c r="B170">
        <v>1</v>
      </c>
      <c r="C170">
        <f t="shared" ca="1" si="2"/>
        <v>0.88834499946320655</v>
      </c>
      <c r="D170" s="2">
        <v>0</v>
      </c>
    </row>
    <row r="171" spans="2:4" ht="15" thickBot="1" x14ac:dyDescent="0.35">
      <c r="B171">
        <v>1</v>
      </c>
      <c r="C171">
        <f t="shared" ca="1" si="2"/>
        <v>1.0941356487221925</v>
      </c>
      <c r="D171" s="2">
        <v>10</v>
      </c>
    </row>
    <row r="172" spans="2:4" ht="15" thickBot="1" x14ac:dyDescent="0.35">
      <c r="B172">
        <v>1</v>
      </c>
      <c r="C172">
        <f t="shared" ca="1" si="2"/>
        <v>1.0835252879172437</v>
      </c>
      <c r="D172" s="2">
        <v>5</v>
      </c>
    </row>
    <row r="173" spans="2:4" ht="15" thickBot="1" x14ac:dyDescent="0.35">
      <c r="B173">
        <v>1</v>
      </c>
      <c r="C173">
        <f t="shared" ca="1" si="2"/>
        <v>1.1217082420320243</v>
      </c>
      <c r="D173" s="2">
        <v>0</v>
      </c>
    </row>
    <row r="174" spans="2:4" ht="15" thickBot="1" x14ac:dyDescent="0.35">
      <c r="B174">
        <v>1</v>
      </c>
      <c r="C174">
        <f t="shared" ca="1" si="2"/>
        <v>1.0810625908442324</v>
      </c>
      <c r="D174" s="2">
        <v>4</v>
      </c>
    </row>
    <row r="175" spans="2:4" ht="15" thickBot="1" x14ac:dyDescent="0.35">
      <c r="B175">
        <v>1</v>
      </c>
      <c r="C175">
        <f t="shared" ca="1" si="2"/>
        <v>1.0240431826014724</v>
      </c>
      <c r="D175" s="2">
        <v>5</v>
      </c>
    </row>
    <row r="176" spans="2:4" ht="15" thickBot="1" x14ac:dyDescent="0.35">
      <c r="B176">
        <v>1</v>
      </c>
      <c r="C176">
        <f t="shared" ca="1" si="2"/>
        <v>0.92206509601947295</v>
      </c>
      <c r="D176" s="2">
        <v>5</v>
      </c>
    </row>
    <row r="177" spans="2:4" ht="15" thickBot="1" x14ac:dyDescent="0.35">
      <c r="B177">
        <v>1</v>
      </c>
      <c r="C177">
        <f t="shared" ca="1" si="2"/>
        <v>1.0783762393617802</v>
      </c>
      <c r="D177" s="2">
        <v>0</v>
      </c>
    </row>
    <row r="178" spans="2:4" ht="15" thickBot="1" x14ac:dyDescent="0.35">
      <c r="B178">
        <v>1</v>
      </c>
      <c r="C178">
        <f t="shared" ca="1" si="2"/>
        <v>0.94107184215454009</v>
      </c>
      <c r="D178" s="2">
        <v>2</v>
      </c>
    </row>
    <row r="179" spans="2:4" ht="15" thickBot="1" x14ac:dyDescent="0.35">
      <c r="B179">
        <v>1</v>
      </c>
      <c r="C179">
        <f t="shared" ca="1" si="2"/>
        <v>0.92662169534913374</v>
      </c>
      <c r="D179" s="2">
        <v>30</v>
      </c>
    </row>
    <row r="180" spans="2:4" ht="15" thickBot="1" x14ac:dyDescent="0.35">
      <c r="B180">
        <v>1</v>
      </c>
      <c r="C180">
        <f t="shared" ca="1" si="2"/>
        <v>0.89590407880662093</v>
      </c>
      <c r="D180" s="2">
        <v>3</v>
      </c>
    </row>
    <row r="181" spans="2:4" ht="15" thickBot="1" x14ac:dyDescent="0.35">
      <c r="B181">
        <v>1</v>
      </c>
      <c r="C181">
        <f t="shared" ca="1" si="2"/>
        <v>1.0732064414852449</v>
      </c>
      <c r="D181" s="2">
        <v>2</v>
      </c>
    </row>
    <row r="182" spans="2:4" ht="15" thickBot="1" x14ac:dyDescent="0.35">
      <c r="B182">
        <v>1</v>
      </c>
      <c r="C182">
        <f t="shared" ca="1" si="2"/>
        <v>1.1392163495511167</v>
      </c>
      <c r="D182" s="2">
        <v>0</v>
      </c>
    </row>
    <row r="183" spans="2:4" ht="15" thickBot="1" x14ac:dyDescent="0.35">
      <c r="B183">
        <v>1</v>
      </c>
      <c r="C183">
        <f t="shared" ca="1" si="2"/>
        <v>0.88054514265468831</v>
      </c>
      <c r="D183" s="2">
        <v>0</v>
      </c>
    </row>
    <row r="184" spans="2:4" ht="15" thickBot="1" x14ac:dyDescent="0.35">
      <c r="B184">
        <v>1</v>
      </c>
      <c r="C184">
        <f t="shared" ca="1" si="2"/>
        <v>1.1285631273682075</v>
      </c>
      <c r="D184" s="2">
        <v>30</v>
      </c>
    </row>
    <row r="185" spans="2:4" ht="15" thickBot="1" x14ac:dyDescent="0.35">
      <c r="B185">
        <v>1</v>
      </c>
      <c r="C185">
        <f t="shared" ca="1" si="2"/>
        <v>0.87336443338878678</v>
      </c>
      <c r="D185" s="2">
        <v>0</v>
      </c>
    </row>
    <row r="186" spans="2:4" ht="15" thickBot="1" x14ac:dyDescent="0.35">
      <c r="B186">
        <v>1</v>
      </c>
      <c r="C186">
        <f t="shared" ca="1" si="2"/>
        <v>0.90115193220425049</v>
      </c>
      <c r="D186" s="2">
        <v>10</v>
      </c>
    </row>
    <row r="187" spans="2:4" ht="15" thickBot="1" x14ac:dyDescent="0.35">
      <c r="B187">
        <v>1</v>
      </c>
      <c r="C187">
        <f t="shared" ca="1" si="2"/>
        <v>1.1204434869638764</v>
      </c>
      <c r="D187" s="2">
        <v>5</v>
      </c>
    </row>
    <row r="188" spans="2:4" ht="15" thickBot="1" x14ac:dyDescent="0.35">
      <c r="B188">
        <v>1</v>
      </c>
      <c r="C188">
        <f t="shared" ca="1" si="2"/>
        <v>0.94272925559456033</v>
      </c>
      <c r="D188" s="2">
        <v>0</v>
      </c>
    </row>
    <row r="194" spans="1:3" x14ac:dyDescent="0.3">
      <c r="A194" s="5"/>
      <c r="B194" s="5" t="s">
        <v>2</v>
      </c>
      <c r="C194" s="5" t="s">
        <v>3</v>
      </c>
    </row>
    <row r="195" spans="1:3" x14ac:dyDescent="0.3">
      <c r="A195" s="5" t="s">
        <v>4</v>
      </c>
      <c r="B195" s="5">
        <v>66.090999999999994</v>
      </c>
      <c r="C195" s="5">
        <v>83.04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Vega</dc:creator>
  <cp:lastModifiedBy>Lucas Vega</cp:lastModifiedBy>
  <dcterms:created xsi:type="dcterms:W3CDTF">2015-06-05T18:17:20Z</dcterms:created>
  <dcterms:modified xsi:type="dcterms:W3CDTF">2025-09-25T23:39:12Z</dcterms:modified>
</cp:coreProperties>
</file>